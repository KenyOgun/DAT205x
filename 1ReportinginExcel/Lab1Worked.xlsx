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29"/>
  <workbookPr/>
  <mc:AlternateContent xmlns:mc="http://schemas.openxmlformats.org/markup-compatibility/2006">
    <mc:Choice Requires="x15">
      <x15ac:absPath xmlns:x15ac="http://schemas.microsoft.com/office/spreadsheetml/2010/11/ac" url="C:\Users\Kenny\Downloads\"/>
    </mc:Choice>
  </mc:AlternateContent>
  <bookViews>
    <workbookView xWindow="0" yWindow="0" windowWidth="20490" windowHeight="7530"/>
  </bookViews>
  <sheets>
    <sheet name="Sheet1" sheetId="3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3" l="1"/>
  <c r="D7" i="3"/>
  <c r="E7" i="3"/>
  <c r="F7" i="3"/>
  <c r="G7" i="3"/>
  <c r="H7" i="3"/>
</calcChain>
</file>

<file path=xl/sharedStrings.xml><?xml version="1.0" encoding="utf-8"?>
<sst xmlns="http://schemas.openxmlformats.org/spreadsheetml/2006/main" count="22" uniqueCount="18">
  <si>
    <t>Revenue</t>
  </si>
  <si>
    <t>Canada</t>
  </si>
  <si>
    <t>Accessories</t>
  </si>
  <si>
    <t>Australia</t>
  </si>
  <si>
    <t>United States</t>
  </si>
  <si>
    <t>Germany</t>
  </si>
  <si>
    <t>France</t>
  </si>
  <si>
    <t>United Kingdom</t>
  </si>
  <si>
    <t>Clothing</t>
  </si>
  <si>
    <t>Bikes</t>
  </si>
  <si>
    <t>Column1</t>
  </si>
  <si>
    <t>2011</t>
  </si>
  <si>
    <t>2012</t>
  </si>
  <si>
    <t>2013</t>
  </si>
  <si>
    <t>2014</t>
  </si>
  <si>
    <t>2015</t>
  </si>
  <si>
    <t>2016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</si>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</sst>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Yearly</a:t>
            </a:r>
            <a:r>
              <a:rPr lang="en-US" baseline="0"/>
              <a:t> Category Revenue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Sheet1!$B$4</c:f>
              <c:strCache>
                <c:ptCount val="1"/>
                <c:pt idx="0">
                  <c:v>Accessories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Sheet1!$C$3:$H$3</c:f>
              <c:strCache>
                <c:ptCount val="6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</c:strCache>
            </c:strRef>
          </c:cat>
          <c:val>
            <c:numRef>
              <c:f>Sheet1!$C$4:$H$4</c:f>
              <c:numCache>
                <c:formatCode>General</c:formatCode>
                <c:ptCount val="6"/>
                <c:pt idx="2">
                  <c:v>3384215</c:v>
                </c:pt>
                <c:pt idx="3">
                  <c:v>4293592</c:v>
                </c:pt>
                <c:pt idx="4">
                  <c:v>3285954</c:v>
                </c:pt>
                <c:pt idx="5">
                  <c:v>4154231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A1-4D75-A8A3-32F06489C474}"/>
            </c:ext>
          </c:extLst>
        </c:ser>
        <c:ser>
          <c:idx val="1"/>
          <c:order val="1"/>
          <c:tx>
            <c:strRef>
              <c:f>Sheet1!$B$5</c:f>
              <c:strCache>
                <c:ptCount val="1"/>
                <c:pt idx="0">
                  <c:v>Bikes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Sheet1!$C$3:$H$3</c:f>
              <c:strCache>
                <c:ptCount val="6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</c:strCache>
            </c:strRef>
          </c:cat>
          <c:val>
            <c:numRef>
              <c:f>Sheet1!$C$5:$H$5</c:f>
              <c:numCache>
                <c:formatCode>General</c:formatCode>
                <c:ptCount val="6"/>
                <c:pt idx="0">
                  <c:v>8964888</c:v>
                </c:pt>
                <c:pt idx="1">
                  <c:v>9175983</c:v>
                </c:pt>
                <c:pt idx="2">
                  <c:v>9858787</c:v>
                </c:pt>
                <c:pt idx="3">
                  <c:v>7611243</c:v>
                </c:pt>
                <c:pt idx="4">
                  <c:v>14799083</c:v>
                </c:pt>
                <c:pt idx="5">
                  <c:v>11372150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A1-4D75-A8A3-32F06489C474}"/>
            </c:ext>
          </c:extLst>
        </c:ser>
        <c:ser>
          <c:idx val="2"/>
          <c:order val="2"/>
          <c:tx>
            <c:strRef>
              <c:f>Sheet1!$B$6</c:f>
              <c:strCache>
                <c:ptCount val="1"/>
                <c:pt idx="0">
                  <c:v>Clothing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Sheet1!$C$3:$H$3</c:f>
              <c:strCache>
                <c:ptCount val="6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</c:strCache>
            </c:strRef>
          </c:cat>
          <c:val>
            <c:numRef>
              <c:f>Sheet1!$C$6:$H$6</c:f>
              <c:numCache>
                <c:formatCode>General</c:formatCode>
                <c:ptCount val="6"/>
                <c:pt idx="2">
                  <c:v>1997035</c:v>
                </c:pt>
                <c:pt idx="3">
                  <c:v>2247889</c:v>
                </c:pt>
                <c:pt idx="4">
                  <c:v>1938954</c:v>
                </c:pt>
                <c:pt idx="5">
                  <c:v>2187004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0A1-4D75-A8A3-32F06489C474}"/>
            </c:ext>
          </c:extLst>
        </c:ser>
        <c:ser>
          <c:idx val="3"/>
          <c:order val="3"/>
          <c:tx>
            <c:v>Total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Sheet1!$B$7:$H$7</c:f>
              <c:numCache>
                <c:formatCode>General</c:formatCode>
                <c:ptCount val="7"/>
                <c:pt idx="0">
                  <c:v>0</c:v>
                </c:pt>
                <c:pt idx="1">
                  <c:v>8964888</c:v>
                </c:pt>
                <c:pt idx="2">
                  <c:v>9175983</c:v>
                </c:pt>
                <c:pt idx="3">
                  <c:v>15240037</c:v>
                </c:pt>
                <c:pt idx="4">
                  <c:v>14152724</c:v>
                </c:pt>
                <c:pt idx="5">
                  <c:v>20023991</c:v>
                </c:pt>
                <c:pt idx="6">
                  <c:v>17713385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0A1-4D75-A8A3-32F06489C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7373040"/>
        <c:axId val="387373368"/>
      </c:lineChart>
      <c:dateAx>
        <c:axId val="387373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373368"/>
        <c:crosses val="autoZero"/>
        <c:auto val="0"/>
        <c:lblOffset val="100"/>
        <c:baseTimeUnit val="days"/>
      </c:dateAx>
      <c:valAx>
        <c:axId val="387373368"/>
        <c:scaling>
          <c:orientation val="minMax"/>
          <c:max val="2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373040"/>
        <c:crosses val="autoZero"/>
        <c:crossBetween val="between"/>
        <c:majorUnit val="5000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Sheet1!$C$10</c:f>
              <c:strCache>
                <c:ptCount val="1"/>
                <c:pt idx="0">
                  <c:v>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DF4-4CDF-89C3-3E0678B0B6A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Sheet1!$B$11:$B$13</c:f>
              <c:strCache>
                <c:ptCount val="3"/>
                <c:pt idx="0">
                  <c:v>Accessories</c:v>
                </c:pt>
                <c:pt idx="1">
                  <c:v>Bikes</c:v>
                </c:pt>
                <c:pt idx="2">
                  <c:v>Clothing</c:v>
                </c:pt>
              </c:strCache>
            </c:strRef>
          </c:cat>
          <c:val>
            <c:numRef>
              <c:f>Sheet1!$C$11:$C$13</c:f>
              <c:numCache>
                <c:formatCode>General</c:formatCode>
                <c:ptCount val="3"/>
                <c:pt idx="0">
                  <c:v>15117992</c:v>
                </c:pt>
                <c:pt idx="1">
                  <c:v>61782134</c:v>
                </c:pt>
                <c:pt idx="2">
                  <c:v>8370882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F4-4CDF-89C3-3E0678B0B6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Sheet1!$C$16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Sheet1!$B$17:$B$22</c:f>
              <c:strCache>
                <c:ptCount val="6"/>
                <c:pt idx="0">
                  <c:v>United States</c:v>
                </c:pt>
                <c:pt idx="1">
                  <c:v>Australia</c:v>
                </c:pt>
                <c:pt idx="2">
                  <c:v>United Kingdom</c:v>
                </c:pt>
                <c:pt idx="3">
                  <c:v>Germany</c:v>
                </c:pt>
                <c:pt idx="4">
                  <c:v>France</c:v>
                </c:pt>
                <c:pt idx="5">
                  <c:v>Canada</c:v>
                </c:pt>
              </c:strCache>
            </c:strRef>
          </c:cat>
          <c:val>
            <c:numRef>
              <c:f>Sheet1!$C$17:$C$22</c:f>
              <c:numCache>
                <c:formatCode>General</c:formatCode>
                <c:ptCount val="6"/>
                <c:pt idx="0">
                  <c:v>27975547</c:v>
                </c:pt>
                <c:pt idx="1">
                  <c:v>21302059</c:v>
                </c:pt>
                <c:pt idx="2">
                  <c:v>10646196</c:v>
                </c:pt>
                <c:pt idx="3">
                  <c:v>8978596</c:v>
                </c:pt>
                <c:pt idx="4">
                  <c:v>8432872</c:v>
                </c:pt>
                <c:pt idx="5">
                  <c:v>7935738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2C-41E4-B956-371C863134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31115672"/>
        <c:axId val="431116984"/>
      </c:barChart>
      <c:catAx>
        <c:axId val="431115672"/>
        <c:scaling>
          <c:orientation val="maxMin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116984"/>
        <c:crosses val="autoZero"/>
        <c:auto val="1"/>
        <c:lblAlgn val="ctr"/>
        <c:lblOffset val="100"/>
        <c:noMultiLvlLbl val="0"/>
      </c:catAx>
      <c:valAx>
        <c:axId val="43111698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115672"/>
        <c:crosses val="autoZero"/>
        <c:crossBetween val="between"/>
        <c:majorUnit val="100000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257175</xdr:colOff>
      <xdr:row>1</xdr:row>
      <xdr:rowOff>123825</xdr:rowOff>
    </xdr:from>
    <xdr:to>
      <xdr:col>16</xdr:col>
      <xdr:colOff>561975</xdr:colOff>
      <xdr:row>16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EFFACC-D7B4-408F-8A76-E053C32512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323850</xdr:colOff>
      <xdr:row>17</xdr:row>
      <xdr:rowOff>76200</xdr:rowOff>
    </xdr:from>
    <xdr:to>
      <xdr:col>17</xdr:col>
      <xdr:colOff>19050</xdr:colOff>
      <xdr:row>31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C891779-2810-4B1D-BE11-BCF552EAB3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285750</xdr:colOff>
      <xdr:row>32</xdr:row>
      <xdr:rowOff>152400</xdr:rowOff>
    </xdr:from>
    <xdr:to>
      <xdr:col>16</xdr:col>
      <xdr:colOff>590550</xdr:colOff>
      <xdr:row>47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9F330D5-9D0E-452E-9737-18A3A0D190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2" name="Table2" displayName="Table2" ref="B3:H7" totalsRowCount="1">
  <autoFilter ref="B3:H6"/>
  <tableColumns count="7">
    <tableColumn id="1" name="Column1" totalsRowLabel="Total"/>
    <tableColumn id="2" name="2011" totalsRowFunction="sum"/>
    <tableColumn id="3" name="2012" totalsRowFunction="sum"/>
    <tableColumn id="4" name="2013" totalsRowFunction="sum"/>
    <tableColumn id="5" name="2014" totalsRowFunction="sum"/>
    <tableColumn id="6" name="2015" totalsRowFunction="sum"/>
    <tableColumn id="7" name="2016" totalsRowFunction="sum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22"/>
  <sheetViews>
    <sheetView tabSelected="1" topLeftCell="A29" workbookViewId="0">
      <selection activeCell="B16" sqref="B16:C22"/>
    </sheetView>
  </sheetViews>
  <sheetFormatPr defaultRowHeight="15" x14ac:dyDescent="0.25"/>
  <cols>
    <col min="2" max="2" width="15.42578125" bestFit="1" customWidth="1"/>
  </cols>
  <sheetData>
    <row r="3" spans="2:8" x14ac:dyDescent="0.25"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</row>
    <row r="4" spans="2:8" x14ac:dyDescent="0.25">
      <c r="B4" t="s">
        <v>2</v>
      </c>
      <c r="E4">
        <v>3384215</v>
      </c>
      <c r="F4">
        <v>4293592</v>
      </c>
      <c r="G4">
        <v>3285954</v>
      </c>
      <c r="H4">
        <v>4154231</v>
      </c>
    </row>
    <row r="5" spans="2:8" x14ac:dyDescent="0.25">
      <c r="B5" t="s">
        <v>9</v>
      </c>
      <c r="C5">
        <v>8964888</v>
      </c>
      <c r="D5">
        <v>9175983</v>
      </c>
      <c r="E5">
        <v>9858787</v>
      </c>
      <c r="F5">
        <v>7611243</v>
      </c>
      <c r="G5">
        <v>14799083</v>
      </c>
      <c r="H5">
        <v>11372150</v>
      </c>
    </row>
    <row r="6" spans="2:8" x14ac:dyDescent="0.25">
      <c r="B6" t="s">
        <v>8</v>
      </c>
      <c r="E6">
        <v>1997035</v>
      </c>
      <c r="F6">
        <v>2247889</v>
      </c>
      <c r="G6">
        <v>1938954</v>
      </c>
      <c r="H6">
        <v>2187004</v>
      </c>
    </row>
    <row r="7" spans="2:8" x14ac:dyDescent="0.25">
      <c r="B7" t="s">
        <v>17</v>
      </c>
      <c r="C7">
        <f>SUBTOTAL(109,Table2[2011])</f>
        <v>8964888</v>
      </c>
      <c r="D7">
        <f>SUBTOTAL(109,Table2[2012])</f>
        <v>9175983</v>
      </c>
      <c r="E7">
        <f>SUBTOTAL(109,Table2[2013])</f>
        <v>15240037</v>
      </c>
      <c r="F7">
        <f>SUBTOTAL(109,Table2[2014])</f>
        <v>14152724</v>
      </c>
      <c r="G7">
        <f>SUBTOTAL(109,Table2[2015])</f>
        <v>20023991</v>
      </c>
      <c r="H7">
        <f>SUBTOTAL(109,Table2[2016])</f>
        <v>17713385</v>
      </c>
    </row>
    <row r="10" spans="2:8" x14ac:dyDescent="0.25">
      <c r="C10" t="s">
        <v>0</v>
      </c>
    </row>
    <row r="11" spans="2:8" x14ac:dyDescent="0.25">
      <c r="B11" t="s">
        <v>2</v>
      </c>
      <c r="C11">
        <v>15117992</v>
      </c>
    </row>
    <row r="12" spans="2:8" x14ac:dyDescent="0.25">
      <c r="B12" t="s">
        <v>9</v>
      </c>
      <c r="C12">
        <v>61782134</v>
      </c>
    </row>
    <row r="13" spans="2:8" x14ac:dyDescent="0.25">
      <c r="B13" t="s">
        <v>8</v>
      </c>
      <c r="C13">
        <v>8370882</v>
      </c>
    </row>
    <row r="16" spans="2:8" x14ac:dyDescent="0.25">
      <c r="C16" t="s">
        <v>0</v>
      </c>
    </row>
    <row r="17" spans="2:3" x14ac:dyDescent="0.25">
      <c r="B17" t="s">
        <v>4</v>
      </c>
      <c r="C17">
        <v>27975547</v>
      </c>
    </row>
    <row r="18" spans="2:3" x14ac:dyDescent="0.25">
      <c r="B18" t="s">
        <v>3</v>
      </c>
      <c r="C18">
        <v>21302059</v>
      </c>
    </row>
    <row r="19" spans="2:3" x14ac:dyDescent="0.25">
      <c r="B19" t="s">
        <v>7</v>
      </c>
      <c r="C19">
        <v>10646196</v>
      </c>
    </row>
    <row r="20" spans="2:3" x14ac:dyDescent="0.25">
      <c r="B20" t="s">
        <v>5</v>
      </c>
      <c r="C20">
        <v>8978596</v>
      </c>
    </row>
    <row r="21" spans="2:3" x14ac:dyDescent="0.25">
      <c r="B21" t="s">
        <v>6</v>
      </c>
      <c r="C21">
        <v>8432872</v>
      </c>
    </row>
    <row r="22" spans="2:3" x14ac:dyDescent="0.25">
      <c r="B22" t="s">
        <v>1</v>
      </c>
      <c r="C22">
        <v>7935738</v>
      </c>
    </row>
  </sheetData>
  <sortState ref="B17:C22">
    <sortCondition descending="1" ref="C17:C22"/>
  </sortState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Dany Hoter</dc:creator>
  <cp:lastModifiedBy>Kehinde Ogunnigbo</cp:lastModifiedBy>
  <dcterms:created xsi:type="dcterms:W3CDTF">2016-05-31T18:37:21Z</dcterms:created>
  <dcterms:modified xsi:type="dcterms:W3CDTF">2017-07-31T15:45:11Z</dcterms:modified>
</cp:coreProperties>
</file>